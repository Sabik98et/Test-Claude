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ssumptions" sheetId="1" state="visible" r:id="rId3"/>
    <sheet name="Summary" sheetId="2" state="visible" r:id="rId4"/>
    <sheet name="Source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<sst xmlns="http://schemas.openxmlformats.org/spreadsheetml/2006/main" count="93" uniqueCount="89">
  <si>
    <t xml:space="preserve">Computing budget: editable assumptions</t>
  </si>
  <si>
    <t xml:space="preserve">Blue text on yellow fill = input cells to edit. All totals on the Summary sheet recalculate from these cells.</t>
  </si>
  <si>
    <t xml:space="preserve">Abbreviations: OSC = Ohio Supercomputer Center; PI = principal investigator; PySR = Python symbolic regression library.</t>
  </si>
  <si>
    <t xml:space="preserve">Rates and licence</t>
  </si>
  <si>
    <t xml:space="preserve">Claude Max licence price per seat per month</t>
  </si>
  <si>
    <t xml:space="preserve">$/seat-month</t>
  </si>
  <si>
    <t xml:space="preserve">Ohio State negotiated price, provided by the investigator.</t>
  </si>
  <si>
    <t xml:space="preserve">Number of Claude Max seats</t>
  </si>
  <si>
    <t xml:space="preserve">seats</t>
  </si>
  <si>
    <t xml:space="preserve">Assumption: one seat for the graduate researcher who runs the agents.</t>
  </si>
  <si>
    <t xml:space="preserve">Months of licence per year</t>
  </si>
  <si>
    <t xml:space="preserve">months</t>
  </si>
  <si>
    <t xml:space="preserve">Assumption: licence held for the full project year.</t>
  </si>
  <si>
    <t xml:space="preserve">OSC standard compute rate</t>
  </si>
  <si>
    <t xml:space="preserve">$/core-hour</t>
  </si>
  <si>
    <t xml:space="preserve">Ohio academic rate, OSC Service Costs page (see Sources). Assumed to apply to Cardinal; confirm on the live page.</t>
  </si>
  <si>
    <t xml:space="preserve">OSC project storage rate</t>
  </si>
  <si>
    <t xml:space="preserve">$/TB-month</t>
  </si>
  <si>
    <t xml:space="preserve">Ohio academic rate, OSC Service Costs page. Billed daily on quota, not on use.</t>
  </si>
  <si>
    <t xml:space="preserve">Project storage quota</t>
  </si>
  <si>
    <t xml:space="preserve">TB</t>
  </si>
  <si>
    <t xml:space="preserve">500 GB project quota.</t>
  </si>
  <si>
    <t xml:space="preserve">OSC GPU compute rate (optional item)</t>
  </si>
  <si>
    <t xml:space="preserve">$/GPU-hour</t>
  </si>
  <si>
    <t xml:space="preserve">Ohio academic rate, OSC Service Costs page.</t>
  </si>
  <si>
    <t xml:space="preserve">GPU hours per year (optional item)</t>
  </si>
  <si>
    <t xml:space="preserve">GPU-hours</t>
  </si>
  <si>
    <t xml:space="preserve">Assumption: occasional GPU use for neural surrogate or data preparation; PySR itself runs on CPU cores.</t>
  </si>
  <si>
    <t xml:space="preserve">Contingency (optional item)</t>
  </si>
  <si>
    <t xml:space="preserve">fraction of required costs</t>
  </si>
  <si>
    <t xml:space="preserve">Assumption: 10% allowance for longer production runs or rate changes.</t>
  </si>
  <si>
    <t xml:space="preserve">OSC annual credit per principal investigator</t>
  </si>
  <si>
    <t xml:space="preserve">$/year</t>
  </si>
  <si>
    <t xml:space="preserve">Ohio academic annual credit per PI. Shared across the PI's projects, so shown as a possible offset only.</t>
  </si>
  <si>
    <t xml:space="preserve">Weekly usage scenarios</t>
  </si>
  <si>
    <t xml:space="preserve">Off-peak</t>
  </si>
  <si>
    <t xml:space="preserve">Average</t>
  </si>
  <si>
    <t xml:space="preserve">Peak</t>
  </si>
  <si>
    <t xml:space="preserve">Basis</t>
  </si>
  <si>
    <t xml:space="preserve">PySR runs per week</t>
  </si>
  <si>
    <t xml:space="preserve">Off-peak: one test batch of 10 runs. Average: a test batch near the observed 10 to 33 range. Peak: two multi-day production runs.</t>
  </si>
  <si>
    <t xml:space="preserve">Cores per run</t>
  </si>
  <si>
    <t xml:space="preserve">Observed typical run used 32 cores; the investigator scales runs up to 96 cores.</t>
  </si>
  <si>
    <t xml:space="preserve">Wall-clock hours per run</t>
  </si>
  <si>
    <t xml:space="preserve">Observed typical run took about 2 hours; a production run is assumed to last 5 days (120 hours).</t>
  </si>
  <si>
    <t xml:space="preserve">Weeks per year in this scenario</t>
  </si>
  <si>
    <t xml:space="preserve">Must sum to 52 (check below).</t>
  </si>
  <si>
    <t xml:space="preserve">Check: total weeks (should be 52)</t>
  </si>
  <si>
    <t xml:space="preserve">Weekly core-hours</t>
  </si>
  <si>
    <t xml:space="preserve">Yearly core-hours</t>
  </si>
  <si>
    <t xml:space="preserve">Total yearly core-hours (all scenarios)</t>
  </si>
  <si>
    <t xml:space="preserve">Yearly computing budget</t>
  </si>
  <si>
    <t xml:space="preserve">OSC = Ohio Supercomputer Center. Inputs live on the Assumptions sheet; green cells link there.</t>
  </si>
  <si>
    <t xml:space="preserve">Cost item</t>
  </si>
  <si>
    <t xml:space="preserve">Quantity per year</t>
  </si>
  <si>
    <t xml:space="preserve">Unit</t>
  </si>
  <si>
    <t xml:space="preserve">Unit cost ($)</t>
  </si>
  <si>
    <t xml:space="preserve">Yearly cost ($)</t>
  </si>
  <si>
    <t xml:space="preserve">Status</t>
  </si>
  <si>
    <t xml:space="preserve">Claude Max licence</t>
  </si>
  <si>
    <t xml:space="preserve">seat-months</t>
  </si>
  <si>
    <t xml:space="preserve">Required</t>
  </si>
  <si>
    <t xml:space="preserve">OSC Cardinal CPU compute</t>
  </si>
  <si>
    <t xml:space="preserve">core-hours</t>
  </si>
  <si>
    <t xml:space="preserve">OSC project storage (500 GB quota)</t>
  </si>
  <si>
    <t xml:space="preserve">TB-months</t>
  </si>
  <si>
    <t xml:space="preserve">Subtotal, required items</t>
  </si>
  <si>
    <t xml:space="preserve">OSC GPU compute</t>
  </si>
  <si>
    <t xml:space="preserve">Optional</t>
  </si>
  <si>
    <t xml:space="preserve">Contingency on required items</t>
  </si>
  <si>
    <t xml:space="preserve">fraction</t>
  </si>
  <si>
    <t xml:space="preserve">Subtotal, optional items</t>
  </si>
  <si>
    <t xml:space="preserve">Total yearly budget, required and optional</t>
  </si>
  <si>
    <t xml:space="preserve">Possible offset: OSC annual credit per principal investigator (not applied)</t>
  </si>
  <si>
    <t xml:space="preserve">Required items after full credit, if the credit is available to this project</t>
  </si>
  <si>
    <t xml:space="preserve">Sources</t>
  </si>
  <si>
    <t xml:space="preserve">OSC rates (standard compute $0.003/core-hour, GPU $0.090/GPU-hour, storage $3.20/TB-month, $1,000 PI credit)</t>
  </si>
  <si>
    <t xml:space="preserve">https://www.osc.edu/book/export/html/4887</t>
  </si>
  <si>
    <t xml:space="preserve">FY26 notice: FY26 pricing unchanged for existing services</t>
  </si>
  <si>
    <t xml:space="preserve">https://www.osc.edu/content/academic_fee_model_faq/fy26_budgets_action_may_be_required%EF%BB%BF</t>
  </si>
  <si>
    <t xml:space="preserve">Job and storage charging: GPU jobs charge core-hours and GPU-hours; storage billed daily on quota</t>
  </si>
  <si>
    <t xml:space="preserve">https://www.osc.edu/supercomputing/knowledge-base/job_and_storage_charging</t>
  </si>
  <si>
    <t xml:space="preserve">Project storage billed on quota, not usage</t>
  </si>
  <si>
    <t xml:space="preserve">https://osc.edu/sites/default/files/supercomputing/policies/docs/Project Filesystem Storage Policy - 1.2.pdf</t>
  </si>
  <si>
    <t xml:space="preserve">Academic fee model overview</t>
  </si>
  <si>
    <t xml:space="preserve">https://www.osc.edu/content/academic_fee_model_faq</t>
  </si>
  <si>
    <t xml:space="preserve">Claude Max price of $50 per seat per month</t>
  </si>
  <si>
    <t xml:space="preserve">Ohio State negotiated price, provided by the investigator (no public URL).</t>
  </si>
  <si>
    <t xml:space="preserve">Note: the OSC rates were read from search-indexed copies of these pages on 9 October 2026; osc.edu could not be opened directly. Confirm against the live Service Costs page before submission.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</si>
</sst>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\$#,##0.00;&quot;($&quot;#,##0.00\);\-"/>
    <numFmt numFmtId="166" formatCode="#,##0.0##"/>
    <numFmt numFmtId="167" formatCode="\$0.000"/>
    <numFmt numFmtId="168" formatCode="0.0%"/>
    <numFmt numFmtId="169" formatCode="#,##0;\(#,##0\);\-"/>
    <numFmt numFmtId="170" formatCode="#,##0.##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Arial"/>
      <family val="0"/>
      <charset val="1"/>
    </font>
    <font>
      <i val="true"/>
      <sz val="11"/>
      <name val="Arial"/>
      <family val="0"/>
      <charset val="1"/>
    </font>
    <font>
      <i val="true"/>
      <sz val="9"/>
      <name val="Arial"/>
      <family val="0"/>
      <charset val="1"/>
    </font>
    <font>
      <b val="true"/>
      <sz val="11"/>
      <name val="Arial"/>
      <family val="0"/>
      <charset val="1"/>
    </font>
    <font>
      <sz val="11"/>
      <name val="Arial"/>
      <family val="0"/>
      <charset val="1"/>
    </font>
    <font>
      <sz val="11"/>
      <color rgb="FF0000FF"/>
      <name val="Arial"/>
      <family val="0"/>
      <charset val="1"/>
    </font>
    <font>
      <sz val="11"/>
      <color rgb="FF00800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D9E1F2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9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6" fontId="9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7" fontId="9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8" fontId="9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9" fontId="9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9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7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8"/>
    <col collapsed="false" customWidth="true" hidden="false" outlineLevel="0" max="4" min="2" style="1" width="14"/>
    <col collapsed="false" customWidth="true" hidden="false" outlineLevel="0" max="5" min="5" style="1" width="70"/>
  </cols>
  <sheetData>
    <row r="1" customFormat="false" ht="15.75" hidden="false" customHeight="true" outlineLevel="0" collapsed="false">
      <c r="A1" s="2" t="s">
        <v>0</v>
      </c>
      <c r="B1" s="3"/>
      <c r="C1" s="3"/>
      <c r="D1" s="3"/>
      <c r="E1" s="3"/>
    </row>
    <row r="2" customFormat="false" ht="26.25" hidden="false" customHeight="true" outlineLevel="0" collapsed="false">
      <c r="A2" s="4" t="s">
        <v>1</v>
      </c>
      <c r="B2" s="3"/>
      <c r="C2" s="3"/>
      <c r="D2" s="3"/>
      <c r="E2" s="3"/>
    </row>
    <row r="3" customFormat="false" ht="15" hidden="false" customHeight="true" outlineLevel="0" collapsed="false">
      <c r="A3" s="5" t="s">
        <v>2</v>
      </c>
      <c r="B3" s="3"/>
      <c r="C3" s="3"/>
      <c r="D3" s="3"/>
      <c r="E3" s="3"/>
    </row>
    <row r="4" customFormat="false" ht="15" hidden="false" customHeight="true" outlineLevel="0" collapsed="false">
      <c r="A4" s="6" t="s">
        <v>3</v>
      </c>
      <c r="B4" s="3"/>
      <c r="C4" s="3"/>
      <c r="D4" s="3"/>
      <c r="E4" s="3"/>
    </row>
    <row r="5" customFormat="false" ht="42.75" hidden="false" customHeight="true" outlineLevel="0" collapsed="false">
      <c r="A5" s="7" t="s">
        <v>4</v>
      </c>
      <c r="B5" s="8" t="n">
        <v>50</v>
      </c>
      <c r="C5" s="7" t="s">
        <v>5</v>
      </c>
      <c r="D5" s="5" t="s">
        <v>6</v>
      </c>
      <c r="E5" s="3"/>
    </row>
    <row r="6" customFormat="false" ht="53.25" hidden="false" customHeight="true" outlineLevel="0" collapsed="false">
      <c r="A6" s="7" t="s">
        <v>7</v>
      </c>
      <c r="B6" s="9" t="n">
        <v>1</v>
      </c>
      <c r="C6" s="7" t="s">
        <v>8</v>
      </c>
      <c r="D6" s="5" t="s">
        <v>9</v>
      </c>
      <c r="E6" s="3"/>
    </row>
    <row r="7" customFormat="false" ht="42.75" hidden="false" customHeight="true" outlineLevel="0" collapsed="false">
      <c r="A7" s="7" t="s">
        <v>10</v>
      </c>
      <c r="B7" s="9" t="n">
        <v>12</v>
      </c>
      <c r="C7" s="7" t="s">
        <v>11</v>
      </c>
      <c r="D7" s="5" t="s">
        <v>12</v>
      </c>
      <c r="E7" s="3"/>
    </row>
    <row r="8" customFormat="false" ht="84.75" hidden="false" customHeight="true" outlineLevel="0" collapsed="false">
      <c r="A8" s="7" t="s">
        <v>13</v>
      </c>
      <c r="B8" s="10" t="n">
        <v>0.003</v>
      </c>
      <c r="C8" s="7" t="s">
        <v>14</v>
      </c>
      <c r="D8" s="5" t="s">
        <v>15</v>
      </c>
      <c r="E8" s="3"/>
    </row>
    <row r="9" customFormat="false" ht="53.25" hidden="false" customHeight="true" outlineLevel="0" collapsed="false">
      <c r="A9" s="7" t="s">
        <v>16</v>
      </c>
      <c r="B9" s="10" t="n">
        <v>3.2</v>
      </c>
      <c r="C9" s="7" t="s">
        <v>17</v>
      </c>
      <c r="D9" s="5" t="s">
        <v>18</v>
      </c>
      <c r="E9" s="3"/>
    </row>
    <row r="10" customFormat="false" ht="21.75" hidden="false" customHeight="true" outlineLevel="0" collapsed="false">
      <c r="A10" s="7" t="s">
        <v>19</v>
      </c>
      <c r="B10" s="9" t="n">
        <v>0.5</v>
      </c>
      <c r="C10" s="7" t="s">
        <v>20</v>
      </c>
      <c r="D10" s="5" t="s">
        <v>21</v>
      </c>
      <c r="E10" s="3"/>
    </row>
    <row r="11" customFormat="false" ht="32.25" hidden="false" customHeight="true" outlineLevel="0" collapsed="false">
      <c r="A11" s="7" t="s">
        <v>22</v>
      </c>
      <c r="B11" s="10" t="n">
        <v>0.09</v>
      </c>
      <c r="C11" s="7" t="s">
        <v>23</v>
      </c>
      <c r="D11" s="5" t="s">
        <v>24</v>
      </c>
      <c r="E11" s="3"/>
    </row>
    <row r="12" customFormat="false" ht="74.25" hidden="false" customHeight="true" outlineLevel="0" collapsed="false">
      <c r="A12" s="7" t="s">
        <v>25</v>
      </c>
      <c r="B12" s="9" t="n">
        <v>500</v>
      </c>
      <c r="C12" s="7" t="s">
        <v>26</v>
      </c>
      <c r="D12" s="5" t="s">
        <v>27</v>
      </c>
      <c r="E12" s="3"/>
    </row>
    <row r="13" customFormat="false" ht="53.25" hidden="false" customHeight="true" outlineLevel="0" collapsed="false">
      <c r="A13" s="7" t="s">
        <v>28</v>
      </c>
      <c r="B13" s="11" t="n">
        <v>0.1</v>
      </c>
      <c r="C13" s="7" t="s">
        <v>29</v>
      </c>
      <c r="D13" s="5" t="s">
        <v>30</v>
      </c>
      <c r="E13" s="3"/>
    </row>
    <row r="14" customFormat="false" ht="74.25" hidden="false" customHeight="true" outlineLevel="0" collapsed="false">
      <c r="A14" s="7" t="s">
        <v>31</v>
      </c>
      <c r="B14" s="8" t="n">
        <v>1000</v>
      </c>
      <c r="C14" s="7" t="s">
        <v>32</v>
      </c>
      <c r="D14" s="5" t="s">
        <v>33</v>
      </c>
      <c r="E14" s="3"/>
    </row>
    <row r="15" customFormat="false" ht="15" hidden="false" customHeight="true" outlineLevel="0" collapsed="false">
      <c r="A15" s="3"/>
      <c r="B15" s="3"/>
      <c r="C15" s="3"/>
      <c r="D15" s="3"/>
      <c r="E15" s="3"/>
    </row>
    <row r="16" customFormat="false" ht="15" hidden="false" customHeight="true" outlineLevel="0" collapsed="false">
      <c r="A16" s="12" t="s">
        <v>34</v>
      </c>
      <c r="B16" s="12" t="s">
        <v>35</v>
      </c>
      <c r="C16" s="12" t="s">
        <v>36</v>
      </c>
      <c r="D16" s="12" t="s">
        <v>37</v>
      </c>
      <c r="E16" s="13" t="s">
        <v>38</v>
      </c>
    </row>
    <row r="17" customFormat="false" ht="21.75" hidden="false" customHeight="true" outlineLevel="0" collapsed="false">
      <c r="A17" s="7" t="s">
        <v>39</v>
      </c>
      <c r="B17" s="14" t="n">
        <v>10</v>
      </c>
      <c r="C17" s="14" t="n">
        <v>25</v>
      </c>
      <c r="D17" s="14" t="n">
        <v>2</v>
      </c>
      <c r="E17" s="5" t="s">
        <v>40</v>
      </c>
    </row>
    <row r="18" customFormat="false" ht="15" hidden="false" customHeight="true" outlineLevel="0" collapsed="false">
      <c r="A18" s="7" t="s">
        <v>41</v>
      </c>
      <c r="B18" s="14" t="n">
        <v>32</v>
      </c>
      <c r="C18" s="14" t="n">
        <v>64</v>
      </c>
      <c r="D18" s="14" t="n">
        <v>96</v>
      </c>
      <c r="E18" s="5" t="s">
        <v>42</v>
      </c>
    </row>
    <row r="19" customFormat="false" ht="21.75" hidden="false" customHeight="true" outlineLevel="0" collapsed="false">
      <c r="A19" s="7" t="s">
        <v>43</v>
      </c>
      <c r="B19" s="14" t="n">
        <v>2</v>
      </c>
      <c r="C19" s="14" t="n">
        <v>3</v>
      </c>
      <c r="D19" s="14" t="n">
        <v>120</v>
      </c>
      <c r="E19" s="5" t="s">
        <v>44</v>
      </c>
    </row>
    <row r="20" customFormat="false" ht="15" hidden="false" customHeight="true" outlineLevel="0" collapsed="false">
      <c r="A20" s="7" t="s">
        <v>45</v>
      </c>
      <c r="B20" s="14" t="n">
        <v>20</v>
      </c>
      <c r="C20" s="14" t="n">
        <v>24</v>
      </c>
      <c r="D20" s="14" t="n">
        <v>8</v>
      </c>
      <c r="E20" s="5" t="s">
        <v>46</v>
      </c>
    </row>
    <row r="21" customFormat="false" ht="15" hidden="false" customHeight="true" outlineLevel="0" collapsed="false">
      <c r="A21" s="7" t="s">
        <v>47</v>
      </c>
      <c r="B21" s="7" t="n">
        <f aca="false">SUM(B20:D20)</f>
        <v>52</v>
      </c>
      <c r="C21" s="3"/>
      <c r="D21" s="3"/>
      <c r="E21" s="3"/>
    </row>
    <row r="22" customFormat="false" ht="15" hidden="false" customHeight="true" outlineLevel="0" collapsed="false">
      <c r="A22" s="6" t="s">
        <v>48</v>
      </c>
      <c r="B22" s="15" t="n">
        <f aca="false">B17*B18*B19</f>
        <v>640</v>
      </c>
      <c r="C22" s="15" t="n">
        <f aca="false">C17*C18*C19</f>
        <v>4800</v>
      </c>
      <c r="D22" s="15" t="n">
        <f aca="false">D17*D18*D19</f>
        <v>23040</v>
      </c>
      <c r="E22" s="3"/>
    </row>
    <row r="23" customFormat="false" ht="15" hidden="false" customHeight="true" outlineLevel="0" collapsed="false">
      <c r="A23" s="6" t="s">
        <v>49</v>
      </c>
      <c r="B23" s="15" t="n">
        <f aca="false">B22*B20</f>
        <v>12800</v>
      </c>
      <c r="C23" s="15" t="n">
        <f aca="false">C22*C20</f>
        <v>115200</v>
      </c>
      <c r="D23" s="15" t="n">
        <f aca="false">D22*D20</f>
        <v>184320</v>
      </c>
      <c r="E23" s="15" t="n">
        <f aca="false">SUM(B23:D23)</f>
        <v>312320</v>
      </c>
    </row>
    <row r="24" customFormat="false" ht="15" hidden="false" customHeight="true" outlineLevel="0" collapsed="false">
      <c r="A24" s="3"/>
      <c r="B24" s="3"/>
      <c r="C24" s="3"/>
      <c r="D24" s="3"/>
      <c r="E24" s="5" t="s">
        <v>50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62"/>
    <col collapsed="false" customWidth="true" hidden="false" outlineLevel="0" max="2" min="2" style="1" width="18"/>
    <col collapsed="false" customWidth="true" hidden="false" outlineLevel="0" max="4" min="3" style="1" width="14"/>
    <col collapsed="false" customWidth="true" hidden="false" outlineLevel="0" max="5" min="5" style="1" width="16"/>
    <col collapsed="false" customWidth="true" hidden="false" outlineLevel="0" max="6" min="6" style="1" width="12"/>
  </cols>
  <sheetData>
    <row r="1" customFormat="false" ht="15.75" hidden="false" customHeight="true" outlineLevel="0" collapsed="false">
      <c r="A1" s="16" t="s">
        <v>51</v>
      </c>
    </row>
    <row r="2" customFormat="false" ht="15" hidden="false" customHeight="false" outlineLevel="0" collapsed="false">
      <c r="A2" s="17" t="s">
        <v>52</v>
      </c>
    </row>
    <row r="3" customFormat="false" ht="15" hidden="false" customHeight="true" outlineLevel="0" collapsed="false">
      <c r="A3" s="18" t="s">
        <v>53</v>
      </c>
      <c r="B3" s="18" t="s">
        <v>54</v>
      </c>
      <c r="C3" s="18" t="s">
        <v>55</v>
      </c>
      <c r="D3" s="18" t="s">
        <v>56</v>
      </c>
      <c r="E3" s="18" t="s">
        <v>57</v>
      </c>
      <c r="F3" s="18" t="s">
        <v>58</v>
      </c>
    </row>
    <row r="4" customFormat="false" ht="15" hidden="false" customHeight="true" outlineLevel="0" collapsed="false">
      <c r="A4" s="19" t="s">
        <v>59</v>
      </c>
      <c r="B4" s="20" t="n">
        <f aca="false">Assumptions!$B$6*Assumptions!$B$7</f>
        <v>12</v>
      </c>
      <c r="C4" s="19" t="s">
        <v>60</v>
      </c>
      <c r="D4" s="21" t="n">
        <f aca="false">Assumptions!$B$5</f>
        <v>50</v>
      </c>
      <c r="E4" s="22" t="n">
        <f aca="false">B4*D4</f>
        <v>600</v>
      </c>
      <c r="F4" s="19" t="s">
        <v>61</v>
      </c>
    </row>
    <row r="5" customFormat="false" ht="15" hidden="false" customHeight="true" outlineLevel="0" collapsed="false">
      <c r="A5" s="19" t="s">
        <v>62</v>
      </c>
      <c r="B5" s="20" t="n">
        <f aca="false">Assumptions!$E$23</f>
        <v>312320</v>
      </c>
      <c r="C5" s="19" t="s">
        <v>63</v>
      </c>
      <c r="D5" s="21" t="n">
        <f aca="false">Assumptions!$B$8</f>
        <v>0.003</v>
      </c>
      <c r="E5" s="22" t="n">
        <f aca="false">B5*D5</f>
        <v>936.96</v>
      </c>
      <c r="F5" s="19" t="s">
        <v>61</v>
      </c>
    </row>
    <row r="6" customFormat="false" ht="15" hidden="false" customHeight="true" outlineLevel="0" collapsed="false">
      <c r="A6" s="19" t="s">
        <v>64</v>
      </c>
      <c r="B6" s="20" t="n">
        <f aca="false">Assumptions!$B$10*12</f>
        <v>6</v>
      </c>
      <c r="C6" s="19" t="s">
        <v>65</v>
      </c>
      <c r="D6" s="21" t="n">
        <f aca="false">Assumptions!$B$9</f>
        <v>3.2</v>
      </c>
      <c r="E6" s="22" t="n">
        <f aca="false">B6*D6</f>
        <v>19.2</v>
      </c>
      <c r="F6" s="19" t="s">
        <v>61</v>
      </c>
    </row>
    <row r="7" customFormat="false" ht="15" hidden="false" customHeight="true" outlineLevel="0" collapsed="false">
      <c r="A7" s="23" t="s">
        <v>66</v>
      </c>
      <c r="B7" s="19"/>
      <c r="C7" s="19"/>
      <c r="D7" s="19"/>
      <c r="E7" s="24" t="n">
        <f aca="false">SUM(E4:E6)</f>
        <v>1556.16</v>
      </c>
      <c r="F7" s="19"/>
    </row>
    <row r="8" customFormat="false" ht="15" hidden="false" customHeight="true" outlineLevel="0" collapsed="false">
      <c r="A8" s="19"/>
      <c r="B8" s="19"/>
      <c r="C8" s="19"/>
      <c r="D8" s="19"/>
      <c r="E8" s="19"/>
      <c r="F8" s="19"/>
    </row>
    <row r="9" customFormat="false" ht="15" hidden="false" customHeight="true" outlineLevel="0" collapsed="false">
      <c r="A9" s="19" t="s">
        <v>67</v>
      </c>
      <c r="B9" s="25" t="n">
        <f aca="false">Assumptions!$B$12</f>
        <v>500</v>
      </c>
      <c r="C9" s="19" t="s">
        <v>26</v>
      </c>
      <c r="D9" s="21" t="n">
        <f aca="false">Assumptions!$B$11</f>
        <v>0.09</v>
      </c>
      <c r="E9" s="22" t="n">
        <f aca="false">B9*D9</f>
        <v>45</v>
      </c>
      <c r="F9" s="19" t="s">
        <v>68</v>
      </c>
    </row>
    <row r="10" customFormat="false" ht="15" hidden="false" customHeight="true" outlineLevel="0" collapsed="false">
      <c r="A10" s="19" t="s">
        <v>69</v>
      </c>
      <c r="B10" s="26" t="n">
        <f aca="false">Assumptions!$B$13</f>
        <v>0.1</v>
      </c>
      <c r="C10" s="19" t="s">
        <v>70</v>
      </c>
      <c r="D10" s="22" t="n">
        <f aca="false">E7</f>
        <v>1556.16</v>
      </c>
      <c r="E10" s="22" t="n">
        <f aca="false">B10*D10</f>
        <v>155.616</v>
      </c>
      <c r="F10" s="19" t="s">
        <v>68</v>
      </c>
    </row>
    <row r="11" customFormat="false" ht="15" hidden="false" customHeight="true" outlineLevel="0" collapsed="false">
      <c r="A11" s="23" t="s">
        <v>71</v>
      </c>
      <c r="B11" s="19"/>
      <c r="C11" s="19"/>
      <c r="D11" s="19"/>
      <c r="E11" s="24" t="n">
        <f aca="false">E9+E10</f>
        <v>200.616</v>
      </c>
      <c r="F11" s="19"/>
    </row>
    <row r="12" customFormat="false" ht="15" hidden="false" customHeight="true" outlineLevel="0" collapsed="false">
      <c r="A12" s="19"/>
      <c r="B12" s="19"/>
      <c r="C12" s="19"/>
      <c r="D12" s="19"/>
      <c r="E12" s="19"/>
      <c r="F12" s="19"/>
    </row>
    <row r="13" customFormat="false" ht="15" hidden="false" customHeight="true" outlineLevel="0" collapsed="false">
      <c r="A13" s="23" t="s">
        <v>72</v>
      </c>
      <c r="B13" s="19"/>
      <c r="C13" s="19"/>
      <c r="D13" s="19"/>
      <c r="E13" s="27" t="n">
        <f aca="false">E7+E11</f>
        <v>1756.776</v>
      </c>
      <c r="F13" s="19"/>
    </row>
    <row r="14" customFormat="false" ht="15" hidden="false" customHeight="true" outlineLevel="0" collapsed="false">
      <c r="A14" s="19"/>
      <c r="B14" s="19"/>
      <c r="C14" s="19"/>
      <c r="D14" s="19"/>
      <c r="E14" s="19"/>
      <c r="F14" s="19"/>
    </row>
    <row r="15" customFormat="false" ht="15" hidden="false" customHeight="true" outlineLevel="0" collapsed="false">
      <c r="A15" s="19" t="s">
        <v>73</v>
      </c>
      <c r="B15" s="19"/>
      <c r="C15" s="19"/>
      <c r="D15" s="19"/>
      <c r="E15" s="22" t="n">
        <f aca="false">-Assumptions!$B$14</f>
        <v>-1000</v>
      </c>
      <c r="F15" s="19"/>
    </row>
    <row r="16" customFormat="false" ht="15" hidden="false" customHeight="true" outlineLevel="0" collapsed="false">
      <c r="A16" s="19" t="s">
        <v>74</v>
      </c>
      <c r="B16" s="19"/>
      <c r="C16" s="19"/>
      <c r="D16" s="19"/>
      <c r="E16" s="22" t="n">
        <f aca="false">MAX(0,E7+E15)</f>
        <v>556.16</v>
      </c>
      <c r="F16" s="19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1" width="90"/>
  </cols>
  <sheetData>
    <row r="1" customFormat="false" ht="15.75" hidden="false" customHeight="true" outlineLevel="0" collapsed="false">
      <c r="A1" s="16" t="s">
        <v>75</v>
      </c>
    </row>
    <row r="3" customFormat="false" ht="15" hidden="false" customHeight="true" outlineLevel="0" collapsed="false">
      <c r="A3" s="19" t="s">
        <v>76</v>
      </c>
      <c r="B3" s="19" t="s">
        <v>77</v>
      </c>
    </row>
    <row r="4" customFormat="false" ht="15" hidden="false" customHeight="true" outlineLevel="0" collapsed="false">
      <c r="A4" s="19" t="s">
        <v>78</v>
      </c>
      <c r="B4" s="19" t="s">
        <v>79</v>
      </c>
    </row>
    <row r="5" customFormat="false" ht="15" hidden="false" customHeight="true" outlineLevel="0" collapsed="false">
      <c r="A5" s="19" t="s">
        <v>80</v>
      </c>
      <c r="B5" s="19" t="s">
        <v>81</v>
      </c>
    </row>
    <row r="6" customFormat="false" ht="15" hidden="false" customHeight="true" outlineLevel="0" collapsed="false">
      <c r="A6" s="19" t="s">
        <v>82</v>
      </c>
      <c r="B6" s="19" t="s">
        <v>83</v>
      </c>
    </row>
    <row r="7" customFormat="false" ht="15" hidden="false" customHeight="true" outlineLevel="0" collapsed="false">
      <c r="A7" s="19" t="s">
        <v>84</v>
      </c>
      <c r="B7" s="19" t="s">
        <v>85</v>
      </c>
    </row>
    <row r="8" customFormat="false" ht="15" hidden="false" customHeight="true" outlineLevel="0" collapsed="false">
      <c r="A8" s="19" t="s">
        <v>86</v>
      </c>
      <c r="B8" s="19" t="s">
        <v>87</v>
      </c>
    </row>
    <row r="10" customFormat="false" ht="15" hidden="false" customHeight="true" outlineLevel="0" collapsed="false">
      <c r="A10" s="28" t="s">
        <v>88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2026-10-09T13:47:27Z</dcterms:created>
  <dc:creator>openpyxl</dc:creator>
  <dc:description/>
  <dc:language>en-US</dc:language>
  <cp:lastModifiedBy/>
  <dcterms:modified xsi:type="dcterms:W3CDTF">2026-10-09T13:47:43Z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